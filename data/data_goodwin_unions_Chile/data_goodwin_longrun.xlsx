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odwin_longrun\"/>
    </mc:Choice>
  </mc:AlternateContent>
  <xr:revisionPtr revIDLastSave="0" documentId="13_ncr:1_{1661FC83-1DE8-4F90-952F-C256B4F84787}" xr6:coauthVersionLast="47" xr6:coauthVersionMax="47" xr10:uidLastSave="{00000000-0000-0000-0000-000000000000}"/>
  <bookViews>
    <workbookView xWindow="-120" yWindow="-120" windowWidth="29040" windowHeight="15720" xr2:uid="{3C02329A-8588-4B51-9F34-7AA04CC3BE18}"/>
  </bookViews>
  <sheets>
    <sheet name="data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2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C66" i="1"/>
  <c r="F66" i="1" s="1"/>
  <c r="B66" i="1"/>
  <c r="G65" i="1"/>
  <c r="F65" i="1"/>
  <c r="G64" i="1"/>
  <c r="F64" i="1"/>
  <c r="G63" i="1"/>
  <c r="F63" i="1"/>
  <c r="G62" i="1"/>
  <c r="F62" i="1"/>
  <c r="G61" i="1"/>
  <c r="F61" i="1"/>
  <c r="G60" i="1"/>
  <c r="B60" i="1"/>
  <c r="F60" i="1" s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  <c r="G66" i="1" l="1"/>
</calcChain>
</file>

<file path=xl/sharedStrings.xml><?xml version="1.0" encoding="utf-8"?>
<sst xmlns="http://schemas.openxmlformats.org/spreadsheetml/2006/main" count="49" uniqueCount="28">
  <si>
    <t>tot_af</t>
  </si>
  <si>
    <t>tot_union</t>
  </si>
  <si>
    <t>lf</t>
  </si>
  <si>
    <t>ocup</t>
  </si>
  <si>
    <t>unmean_size</t>
  </si>
  <si>
    <t>aff_rate</t>
  </si>
  <si>
    <t>w_sh</t>
  </si>
  <si>
    <t>emp_rate</t>
  </si>
  <si>
    <t>unemp_rate</t>
  </si>
  <si>
    <t>Varname</t>
  </si>
  <si>
    <t xml:space="preserve">Total Unions </t>
  </si>
  <si>
    <t>Total Workers Unionized</t>
  </si>
  <si>
    <t>Labour Force</t>
  </si>
  <si>
    <t>Occupied Labour</t>
  </si>
  <si>
    <t xml:space="preserve">Union Mean Size </t>
  </si>
  <si>
    <t xml:space="preserve">Union Affiliation Rate </t>
  </si>
  <si>
    <t>Wage Share</t>
  </si>
  <si>
    <t xml:space="preserve">Unemployment Rate </t>
  </si>
  <si>
    <t xml:space="preserve">Employment Rate </t>
  </si>
  <si>
    <t>Label</t>
  </si>
  <si>
    <t>Source</t>
  </si>
  <si>
    <t xml:space="preserve">Repositorio Estadísticas Sindicales </t>
  </si>
  <si>
    <t>Astorga (2023)</t>
  </si>
  <si>
    <t xml:space="preserve">Link </t>
  </si>
  <si>
    <r>
      <t>Astorga, P. (2023). A revised dataset of real wages in Latin America, 1920-2011. </t>
    </r>
    <r>
      <rPr>
        <i/>
        <sz val="10"/>
        <color rgb="FF222222"/>
        <rFont val="Arial"/>
        <family val="2"/>
      </rPr>
      <t>Revista de Historia Economica-Journal of Iberian and Latin American Economic History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41</t>
    </r>
    <r>
      <rPr>
        <sz val="10"/>
        <color rgb="FF222222"/>
        <rFont val="Arial"/>
        <family val="2"/>
      </rPr>
      <t>(3), 553-564.</t>
    </r>
  </si>
  <si>
    <t>Clio-Lab PUC</t>
  </si>
  <si>
    <t>https://cliolab.economia.uc.cl/</t>
  </si>
  <si>
    <t>https://repositoriosindical.netlify.app/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</si>
</sst>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222222"/>
      <name val="Arial"/>
      <family val="2"/>
    </font>
    <font>
      <i/>
      <sz val="10"/>
      <color rgb="FF2222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2A1C7"/>
        <bgColor rgb="FFB2A1C7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B050"/>
        <bgColor rgb="FF8DB3E2"/>
      </patternFill>
    </fill>
    <fill>
      <patternFill patternType="solid">
        <fgColor rgb="FF00B050"/>
        <bgColor rgb="FF95B3D7"/>
      </patternFill>
    </fill>
    <fill>
      <patternFill patternType="solid">
        <fgColor rgb="FF76923C"/>
        <bgColor rgb="FF76923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3" fontId="3" fillId="4" borderId="0" xfId="0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/>
    </xf>
    <xf numFmtId="3" fontId="4" fillId="6" borderId="0" xfId="0" applyNumberFormat="1" applyFont="1" applyFill="1" applyAlignment="1">
      <alignment horizontal="center"/>
    </xf>
    <xf numFmtId="3" fontId="5" fillId="7" borderId="0" xfId="0" applyNumberFormat="1" applyFont="1" applyFill="1" applyAlignment="1">
      <alignment horizontal="center"/>
    </xf>
    <xf numFmtId="3" fontId="4" fillId="8" borderId="0" xfId="0" applyNumberFormat="1" applyFont="1" applyFill="1" applyAlignment="1">
      <alignment horizontal="center"/>
    </xf>
    <xf numFmtId="3" fontId="4" fillId="9" borderId="0" xfId="0" applyNumberFormat="1" applyFont="1" applyFill="1" applyAlignment="1">
      <alignment horizontal="center"/>
    </xf>
    <xf numFmtId="9" fontId="3" fillId="4" borderId="0" xfId="1" applyFont="1" applyFill="1" applyAlignment="1">
      <alignment horizontal="center" vertical="center"/>
    </xf>
    <xf numFmtId="9" fontId="3" fillId="0" borderId="0" xfId="1" applyFont="1"/>
    <xf numFmtId="9" fontId="0" fillId="0" borderId="0" xfId="1" applyFont="1"/>
    <xf numFmtId="0" fontId="6" fillId="0" borderId="0" xfId="0" applyFont="1" applyAlignment="1">
      <alignment horizontal="center" wrapText="1"/>
    </xf>
    <xf numFmtId="9" fontId="0" fillId="0" borderId="0" xfId="0" applyNumberFormat="1"/>
    <xf numFmtId="0" fontId="7" fillId="0" borderId="0" xfId="0" applyFont="1" applyAlignment="1">
      <alignment horizontal="center" wrapText="1"/>
    </xf>
    <xf numFmtId="0" fontId="2" fillId="0" borderId="0" xfId="0" applyFont="1"/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21F3-4986-4DBE-B3B9-395665595CE5}">
  <dimension ref="A1:J80"/>
  <sheetViews>
    <sheetView tabSelected="1" zoomScale="85" zoomScaleNormal="85" workbookViewId="0">
      <selection activeCell="P10" sqref="P10"/>
    </sheetView>
  </sheetViews>
  <sheetFormatPr defaultRowHeight="15" x14ac:dyDescent="0.25"/>
  <cols>
    <col min="2" max="2" width="13.7109375" customWidth="1"/>
    <col min="4" max="4" width="16.42578125" bestFit="1" customWidth="1"/>
    <col min="6" max="6" width="14.7109375" customWidth="1"/>
    <col min="9" max="9" width="13.85546875" customWidth="1"/>
  </cols>
  <sheetData>
    <row r="1" spans="1:10" ht="27" customHeight="1" x14ac:dyDescent="0.25">
      <c r="B1" s="14" t="s">
        <v>1</v>
      </c>
      <c r="C1" s="14" t="s">
        <v>0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8</v>
      </c>
      <c r="J1" s="14" t="s">
        <v>7</v>
      </c>
    </row>
    <row r="2" spans="1:10" x14ac:dyDescent="0.25">
      <c r="A2" s="1">
        <v>1932</v>
      </c>
      <c r="B2" s="2">
        <v>421</v>
      </c>
      <c r="C2" s="3">
        <v>54801</v>
      </c>
      <c r="D2" s="4">
        <v>1539601</v>
      </c>
      <c r="E2" s="4">
        <v>1165000</v>
      </c>
      <c r="F2" s="5">
        <f>C2/B2</f>
        <v>130.16864608076008</v>
      </c>
      <c r="G2" s="11">
        <f>C2/E2</f>
        <v>4.7039484978540776E-2</v>
      </c>
      <c r="H2" s="12">
        <v>0.46092164869838348</v>
      </c>
      <c r="I2" s="13">
        <v>0.24299999999999999</v>
      </c>
      <c r="J2" s="15">
        <f>1-I2</f>
        <v>0.75700000000000001</v>
      </c>
    </row>
    <row r="3" spans="1:10" x14ac:dyDescent="0.25">
      <c r="A3" s="1">
        <v>1933</v>
      </c>
      <c r="B3" s="2">
        <v>619</v>
      </c>
      <c r="C3" s="3">
        <v>75050</v>
      </c>
      <c r="D3" s="4">
        <v>1574008</v>
      </c>
      <c r="E3" s="4">
        <v>1394000</v>
      </c>
      <c r="F3" s="5">
        <f>C3/B3</f>
        <v>121.24394184168013</v>
      </c>
      <c r="G3" s="11">
        <f>C3/E3</f>
        <v>5.3837876614060261E-2</v>
      </c>
      <c r="H3" s="12">
        <v>0.51899682703026973</v>
      </c>
      <c r="I3" s="13">
        <v>0.11410000000000001</v>
      </c>
      <c r="J3" s="15">
        <f t="shared" ref="J3:J66" si="0">1-I3</f>
        <v>0.88590000000000002</v>
      </c>
    </row>
    <row r="4" spans="1:10" x14ac:dyDescent="0.25">
      <c r="A4" s="1">
        <v>1934</v>
      </c>
      <c r="B4" s="2">
        <v>680</v>
      </c>
      <c r="C4" s="3">
        <v>81085</v>
      </c>
      <c r="D4" s="4">
        <v>1608865</v>
      </c>
      <c r="E4" s="4">
        <v>1506000</v>
      </c>
      <c r="F4" s="5">
        <f>C4/B4</f>
        <v>119.24264705882354</v>
      </c>
      <c r="G4" s="11">
        <f>C4/E4</f>
        <v>5.3841301460823374E-2</v>
      </c>
      <c r="H4" s="12">
        <v>0.53678866062938446</v>
      </c>
      <c r="I4" s="13">
        <v>6.4100000000000004E-2</v>
      </c>
      <c r="J4" s="15">
        <f t="shared" si="0"/>
        <v>0.93589999999999995</v>
      </c>
    </row>
    <row r="5" spans="1:10" x14ac:dyDescent="0.25">
      <c r="A5" s="1">
        <v>1935</v>
      </c>
      <c r="B5" s="2">
        <v>669</v>
      </c>
      <c r="C5" s="3">
        <v>83262</v>
      </c>
      <c r="D5" s="4">
        <v>1644914</v>
      </c>
      <c r="E5" s="4">
        <v>1553000</v>
      </c>
      <c r="F5" s="5">
        <f>C5/B5</f>
        <v>124.45739910313901</v>
      </c>
      <c r="G5" s="11">
        <f>C5/E5</f>
        <v>5.3613650998068252E-2</v>
      </c>
      <c r="H5" s="12">
        <v>0.57185747888368421</v>
      </c>
      <c r="I5" s="13">
        <v>5.57E-2</v>
      </c>
      <c r="J5" s="15">
        <f t="shared" si="0"/>
        <v>0.94430000000000003</v>
      </c>
    </row>
    <row r="6" spans="1:10" x14ac:dyDescent="0.25">
      <c r="A6" s="1">
        <v>1936</v>
      </c>
      <c r="B6" s="2">
        <v>670</v>
      </c>
      <c r="C6" s="3">
        <v>86699</v>
      </c>
      <c r="D6" s="4">
        <v>1682168</v>
      </c>
      <c r="E6" s="4">
        <v>1586000</v>
      </c>
      <c r="F6" s="5">
        <f>C6/B6</f>
        <v>129.40149253731343</v>
      </c>
      <c r="G6" s="11">
        <f>C6/E6</f>
        <v>5.4665195460277427E-2</v>
      </c>
      <c r="H6" s="12">
        <v>0.52853862171213761</v>
      </c>
      <c r="I6" s="13">
        <v>5.7000000000000002E-2</v>
      </c>
      <c r="J6" s="15">
        <f t="shared" si="0"/>
        <v>0.94299999999999995</v>
      </c>
    </row>
    <row r="7" spans="1:10" x14ac:dyDescent="0.25">
      <c r="A7" s="1">
        <v>1937</v>
      </c>
      <c r="B7" s="2">
        <v>812</v>
      </c>
      <c r="C7" s="3">
        <v>116378</v>
      </c>
      <c r="D7" s="4">
        <v>1720144</v>
      </c>
      <c r="E7" s="4">
        <v>1647000</v>
      </c>
      <c r="F7" s="5">
        <f>C7/B7</f>
        <v>143.32266009852216</v>
      </c>
      <c r="G7" s="11">
        <f>C7/E7</f>
        <v>7.0660595021250758E-2</v>
      </c>
      <c r="H7" s="12">
        <v>0.53283113314857933</v>
      </c>
      <c r="I7" s="13">
        <v>4.2500000000000003E-2</v>
      </c>
      <c r="J7" s="15">
        <f t="shared" si="0"/>
        <v>0.95750000000000002</v>
      </c>
    </row>
    <row r="8" spans="1:10" x14ac:dyDescent="0.25">
      <c r="A8" s="1">
        <v>1938</v>
      </c>
      <c r="B8" s="2">
        <v>932</v>
      </c>
      <c r="C8" s="3">
        <v>125972</v>
      </c>
      <c r="D8" s="4">
        <v>1759225</v>
      </c>
      <c r="E8" s="4">
        <v>1676000</v>
      </c>
      <c r="F8" s="5">
        <f>C8/B8</f>
        <v>135.16309012875536</v>
      </c>
      <c r="G8" s="11">
        <f>C8/E8</f>
        <v>7.516229116945107E-2</v>
      </c>
      <c r="H8" s="12">
        <v>0.55316640741209988</v>
      </c>
      <c r="I8" s="13">
        <v>4.7199999999999999E-2</v>
      </c>
      <c r="J8" s="15">
        <f t="shared" si="0"/>
        <v>0.95279999999999998</v>
      </c>
    </row>
    <row r="9" spans="1:10" x14ac:dyDescent="0.25">
      <c r="A9" s="1">
        <v>1939</v>
      </c>
      <c r="B9" s="3">
        <v>1687</v>
      </c>
      <c r="C9" s="3">
        <v>173438</v>
      </c>
      <c r="D9" s="4">
        <v>1799997</v>
      </c>
      <c r="E9" s="4">
        <v>1709000</v>
      </c>
      <c r="F9" s="5">
        <f>C9/B9</f>
        <v>102.80853586247777</v>
      </c>
      <c r="G9" s="11">
        <f>C9/E9</f>
        <v>0.10148507899356349</v>
      </c>
      <c r="H9" s="12">
        <v>0.57853535531294564</v>
      </c>
      <c r="I9" s="13">
        <v>5.04E-2</v>
      </c>
      <c r="J9" s="15">
        <f t="shared" si="0"/>
        <v>0.9496</v>
      </c>
    </row>
    <row r="10" spans="1:10" x14ac:dyDescent="0.25">
      <c r="A10" s="1">
        <v>1940</v>
      </c>
      <c r="B10" s="3">
        <v>1888</v>
      </c>
      <c r="C10" s="3">
        <v>162297</v>
      </c>
      <c r="D10" s="4">
        <v>1841954</v>
      </c>
      <c r="E10" s="4">
        <v>1746000</v>
      </c>
      <c r="F10" s="5">
        <f>C10/B10</f>
        <v>85.962394067796609</v>
      </c>
      <c r="G10" s="11">
        <f>C10/E10</f>
        <v>9.2953608247422687E-2</v>
      </c>
      <c r="H10" s="12">
        <v>0.60747078008747069</v>
      </c>
      <c r="I10" s="13">
        <v>5.2199999999999996E-2</v>
      </c>
      <c r="J10" s="15">
        <f t="shared" si="0"/>
        <v>0.94779999999999998</v>
      </c>
    </row>
    <row r="11" spans="1:10" x14ac:dyDescent="0.25">
      <c r="A11" s="1">
        <v>1941</v>
      </c>
      <c r="B11" s="3">
        <v>1977</v>
      </c>
      <c r="C11" s="3">
        <v>208779</v>
      </c>
      <c r="D11" s="4">
        <v>1875363</v>
      </c>
      <c r="E11" s="4">
        <v>1763000</v>
      </c>
      <c r="F11" s="5">
        <f>C11/B11</f>
        <v>105.60394537177542</v>
      </c>
      <c r="G11" s="11">
        <f>C11/E11</f>
        <v>0.11842257515598412</v>
      </c>
      <c r="H11" s="12">
        <v>0.61626009742784948</v>
      </c>
      <c r="I11" s="13">
        <v>6.0199999999999997E-2</v>
      </c>
      <c r="J11" s="15">
        <f t="shared" si="0"/>
        <v>0.93979999999999997</v>
      </c>
    </row>
    <row r="12" spans="1:10" x14ac:dyDescent="0.25">
      <c r="A12" s="1">
        <v>1942</v>
      </c>
      <c r="B12" s="3">
        <v>1593</v>
      </c>
      <c r="C12" s="3">
        <v>194049</v>
      </c>
      <c r="D12" s="4">
        <v>1912127</v>
      </c>
      <c r="E12" s="4">
        <v>1794000</v>
      </c>
      <c r="F12" s="5">
        <f>C12/B12</f>
        <v>121.8135593220339</v>
      </c>
      <c r="G12" s="11">
        <f>C12/E12</f>
        <v>0.10816555183946489</v>
      </c>
      <c r="H12" s="12">
        <v>0.56756484368608739</v>
      </c>
      <c r="I12" s="13">
        <v>6.1500000000000006E-2</v>
      </c>
      <c r="J12" s="15">
        <f t="shared" si="0"/>
        <v>0.9385</v>
      </c>
    </row>
    <row r="13" spans="1:10" x14ac:dyDescent="0.25">
      <c r="A13" s="1">
        <v>1943</v>
      </c>
      <c r="B13" s="3">
        <v>1618</v>
      </c>
      <c r="C13" s="3">
        <v>213867</v>
      </c>
      <c r="D13" s="4">
        <v>1949702</v>
      </c>
      <c r="E13" s="4">
        <v>1825000</v>
      </c>
      <c r="F13" s="5">
        <f>C13/B13</f>
        <v>132.17985166872683</v>
      </c>
      <c r="G13" s="11">
        <f>C13/E13</f>
        <v>0.11718739726027397</v>
      </c>
      <c r="H13" s="12">
        <v>0.60309919765734965</v>
      </c>
      <c r="I13" s="13">
        <v>6.3799999999999996E-2</v>
      </c>
      <c r="J13" s="15">
        <f t="shared" si="0"/>
        <v>0.93620000000000003</v>
      </c>
    </row>
    <row r="14" spans="1:10" x14ac:dyDescent="0.25">
      <c r="A14" s="1">
        <v>1944</v>
      </c>
      <c r="B14" s="3">
        <v>1652</v>
      </c>
      <c r="C14" s="3">
        <v>246221</v>
      </c>
      <c r="D14" s="4">
        <v>1988089</v>
      </c>
      <c r="E14" s="4">
        <v>1852000</v>
      </c>
      <c r="F14" s="5">
        <f>C14/B14</f>
        <v>149.04418886198548</v>
      </c>
      <c r="G14" s="11">
        <f>C14/E14</f>
        <v>0.13294870410367171</v>
      </c>
      <c r="H14" s="12">
        <v>0.62543672105873571</v>
      </c>
      <c r="I14" s="13">
        <v>6.8499999999999991E-2</v>
      </c>
      <c r="J14" s="15">
        <f t="shared" si="0"/>
        <v>0.93149999999999999</v>
      </c>
    </row>
    <row r="15" spans="1:10" x14ac:dyDescent="0.25">
      <c r="A15" s="1">
        <v>1945</v>
      </c>
      <c r="B15" s="3">
        <v>1581</v>
      </c>
      <c r="C15" s="3">
        <v>232714</v>
      </c>
      <c r="D15" s="4">
        <v>2027293</v>
      </c>
      <c r="E15" s="4">
        <v>1910000</v>
      </c>
      <c r="F15" s="5">
        <f>C15/B15</f>
        <v>147.19418089816571</v>
      </c>
      <c r="G15" s="11">
        <f>C15/E15</f>
        <v>0.12183979057591623</v>
      </c>
      <c r="H15" s="12">
        <v>0.60445556333954531</v>
      </c>
      <c r="I15" s="13">
        <v>5.7800000000000004E-2</v>
      </c>
      <c r="J15" s="15">
        <f t="shared" si="0"/>
        <v>0.94220000000000004</v>
      </c>
    </row>
    <row r="16" spans="1:10" x14ac:dyDescent="0.25">
      <c r="A16" s="1">
        <v>1946</v>
      </c>
      <c r="B16" s="3">
        <v>1706</v>
      </c>
      <c r="C16" s="3">
        <v>251774</v>
      </c>
      <c r="D16" s="4">
        <v>2066737</v>
      </c>
      <c r="E16" s="4">
        <v>1966000</v>
      </c>
      <c r="F16" s="5">
        <f>C16/B16</f>
        <v>147.58147713950763</v>
      </c>
      <c r="G16" s="11">
        <f>C16/E16</f>
        <v>0.12806408952187182</v>
      </c>
      <c r="H16" s="12">
        <v>0.57194355018251375</v>
      </c>
      <c r="I16" s="13">
        <v>4.8899999999999999E-2</v>
      </c>
      <c r="J16" s="15">
        <f t="shared" si="0"/>
        <v>0.95110000000000006</v>
      </c>
    </row>
    <row r="17" spans="1:10" x14ac:dyDescent="0.25">
      <c r="A17" s="1">
        <v>1947</v>
      </c>
      <c r="B17" s="3">
        <v>1831</v>
      </c>
      <c r="C17" s="3">
        <v>263085</v>
      </c>
      <c r="D17" s="4">
        <v>2107575</v>
      </c>
      <c r="E17" s="4">
        <v>1926000</v>
      </c>
      <c r="F17" s="5">
        <f>C17/B17</f>
        <v>143.68377935554341</v>
      </c>
      <c r="G17" s="11">
        <f>C17/E17</f>
        <v>0.13659657320872273</v>
      </c>
      <c r="H17" s="12">
        <v>0.6818860563830722</v>
      </c>
      <c r="I17" s="13">
        <v>8.6099999999999996E-2</v>
      </c>
      <c r="J17" s="15">
        <f t="shared" si="0"/>
        <v>0.91390000000000005</v>
      </c>
    </row>
    <row r="18" spans="1:10" x14ac:dyDescent="0.25">
      <c r="A18" s="1">
        <v>1948</v>
      </c>
      <c r="B18" s="3">
        <v>1857</v>
      </c>
      <c r="C18" s="3">
        <v>263676</v>
      </c>
      <c r="D18" s="4">
        <v>2148870</v>
      </c>
      <c r="E18" s="4">
        <v>2029000</v>
      </c>
      <c r="F18" s="5">
        <f>C18/B18</f>
        <v>141.99030694668821</v>
      </c>
      <c r="G18" s="11">
        <f>C18/E18</f>
        <v>0.12995367175948744</v>
      </c>
      <c r="H18" s="12">
        <v>0.59472898262467588</v>
      </c>
      <c r="I18" s="13">
        <v>5.5800000000000002E-2</v>
      </c>
      <c r="J18" s="15">
        <f t="shared" si="0"/>
        <v>0.94420000000000004</v>
      </c>
    </row>
    <row r="19" spans="1:10" x14ac:dyDescent="0.25">
      <c r="A19" s="1">
        <v>1949</v>
      </c>
      <c r="B19" s="3">
        <v>1855</v>
      </c>
      <c r="C19" s="3">
        <v>257845</v>
      </c>
      <c r="D19" s="4">
        <v>2190991</v>
      </c>
      <c r="E19" s="4">
        <v>2038000</v>
      </c>
      <c r="F19" s="5">
        <f>C19/B19</f>
        <v>139</v>
      </c>
      <c r="G19" s="11">
        <f>C19/E19</f>
        <v>0.12651864573110894</v>
      </c>
      <c r="H19" s="12">
        <v>0.59044158514074674</v>
      </c>
      <c r="I19" s="13">
        <v>6.9800000000000001E-2</v>
      </c>
      <c r="J19" s="15">
        <f t="shared" si="0"/>
        <v>0.93020000000000003</v>
      </c>
    </row>
    <row r="20" spans="1:10" x14ac:dyDescent="0.25">
      <c r="A20" s="1">
        <v>1950</v>
      </c>
      <c r="B20" s="3">
        <v>1907</v>
      </c>
      <c r="C20" s="3">
        <v>260143</v>
      </c>
      <c r="D20" s="4">
        <v>2237593</v>
      </c>
      <c r="E20" s="4">
        <v>2087000</v>
      </c>
      <c r="F20" s="5">
        <f>C20/B20</f>
        <v>136.41478762454116</v>
      </c>
      <c r="G20" s="11">
        <f>C20/E20</f>
        <v>0.12464925730713944</v>
      </c>
      <c r="H20" s="12">
        <v>0.56406149659561211</v>
      </c>
      <c r="I20" s="13">
        <v>6.7299999999999999E-2</v>
      </c>
      <c r="J20" s="15">
        <f t="shared" si="0"/>
        <v>0.93269999999999997</v>
      </c>
    </row>
    <row r="21" spans="1:10" x14ac:dyDescent="0.25">
      <c r="A21" s="1">
        <v>1951</v>
      </c>
      <c r="B21" s="3">
        <v>1930</v>
      </c>
      <c r="C21" s="3">
        <v>264481</v>
      </c>
      <c r="D21" s="4">
        <v>2290836</v>
      </c>
      <c r="E21" s="4">
        <v>2139000</v>
      </c>
      <c r="F21" s="5">
        <f>C21/B21</f>
        <v>137.03678756476683</v>
      </c>
      <c r="G21" s="11">
        <f>C21/E21</f>
        <v>0.12364703132304815</v>
      </c>
      <c r="H21" s="12">
        <v>0.52674488313604162</v>
      </c>
      <c r="I21" s="13">
        <v>6.6500000000000004E-2</v>
      </c>
      <c r="J21" s="15">
        <f t="shared" si="0"/>
        <v>0.9335</v>
      </c>
    </row>
    <row r="22" spans="1:10" x14ac:dyDescent="0.25">
      <c r="A22" s="1">
        <v>1952</v>
      </c>
      <c r="B22" s="3">
        <v>1997</v>
      </c>
      <c r="C22" s="3">
        <v>284418</v>
      </c>
      <c r="D22" s="4">
        <v>2344458</v>
      </c>
      <c r="E22" s="4">
        <v>2202000</v>
      </c>
      <c r="F22" s="5">
        <f>C22/B22</f>
        <v>142.42263395092638</v>
      </c>
      <c r="G22" s="11">
        <f>C22/E22</f>
        <v>0.12916348773841962</v>
      </c>
      <c r="H22" s="12">
        <v>0.63755932295642515</v>
      </c>
      <c r="I22" s="13">
        <v>6.0999999999999999E-2</v>
      </c>
      <c r="J22" s="15">
        <f t="shared" si="0"/>
        <v>0.93900000000000006</v>
      </c>
    </row>
    <row r="23" spans="1:10" x14ac:dyDescent="0.25">
      <c r="A23" s="1">
        <v>1953</v>
      </c>
      <c r="B23" s="3">
        <v>2067</v>
      </c>
      <c r="C23" s="3">
        <v>298274</v>
      </c>
      <c r="D23" s="4">
        <v>2355685</v>
      </c>
      <c r="E23" s="4">
        <v>2230000</v>
      </c>
      <c r="F23" s="5">
        <f>C23/B23</f>
        <v>144.30285437832609</v>
      </c>
      <c r="G23" s="11">
        <f>C23/E23</f>
        <v>0.13375515695067264</v>
      </c>
      <c r="H23" s="12">
        <v>0.43357146819180653</v>
      </c>
      <c r="I23" s="13">
        <v>5.3499999999999999E-2</v>
      </c>
      <c r="J23" s="15">
        <f t="shared" si="0"/>
        <v>0.94650000000000001</v>
      </c>
    </row>
    <row r="24" spans="1:10" x14ac:dyDescent="0.25">
      <c r="A24" s="1">
        <v>1954</v>
      </c>
      <c r="B24" s="3">
        <v>2068</v>
      </c>
      <c r="C24" s="3">
        <v>299364</v>
      </c>
      <c r="D24" s="4">
        <v>2366085</v>
      </c>
      <c r="E24" s="4">
        <v>2201000</v>
      </c>
      <c r="F24" s="5">
        <f>C24/B24</f>
        <v>144.76015473887816</v>
      </c>
      <c r="G24" s="11">
        <f>C24/E24</f>
        <v>0.13601272149023172</v>
      </c>
      <c r="H24" s="12">
        <v>0.42522651626408575</v>
      </c>
      <c r="I24" s="13">
        <v>6.9800000000000001E-2</v>
      </c>
      <c r="J24" s="15">
        <f t="shared" si="0"/>
        <v>0.93020000000000003</v>
      </c>
    </row>
    <row r="25" spans="1:10" x14ac:dyDescent="0.25">
      <c r="A25" s="1">
        <v>1955</v>
      </c>
      <c r="B25" s="3">
        <v>2177</v>
      </c>
      <c r="C25" s="3">
        <v>305192</v>
      </c>
      <c r="D25" s="4">
        <v>2375942</v>
      </c>
      <c r="E25" s="4">
        <v>2209000</v>
      </c>
      <c r="F25" s="5">
        <f>C25/B25</f>
        <v>140.18925126320624</v>
      </c>
      <c r="G25" s="11">
        <f>C25/E25</f>
        <v>0.13815844273426889</v>
      </c>
      <c r="H25" s="12">
        <v>0.41849944096052066</v>
      </c>
      <c r="I25" s="13">
        <v>7.0199999999999999E-2</v>
      </c>
      <c r="J25" s="15">
        <f t="shared" si="0"/>
        <v>0.92979999999999996</v>
      </c>
    </row>
    <row r="26" spans="1:10" x14ac:dyDescent="0.25">
      <c r="A26" s="1">
        <v>1956</v>
      </c>
      <c r="B26" s="3">
        <v>2382</v>
      </c>
      <c r="C26" s="3">
        <v>317352</v>
      </c>
      <c r="D26" s="4">
        <v>2398420</v>
      </c>
      <c r="E26" s="4">
        <v>2215000</v>
      </c>
      <c r="F26" s="5">
        <f>C26/B26</f>
        <v>133.22921914357681</v>
      </c>
      <c r="G26" s="11">
        <f>C26/E26</f>
        <v>0.14327404063205418</v>
      </c>
      <c r="H26" s="12">
        <v>0.51173404390044341</v>
      </c>
      <c r="I26" s="13">
        <v>7.6299999999999993E-2</v>
      </c>
      <c r="J26" s="15">
        <f t="shared" si="0"/>
        <v>0.92369999999999997</v>
      </c>
    </row>
    <row r="27" spans="1:10" x14ac:dyDescent="0.25">
      <c r="A27" s="1">
        <v>1957</v>
      </c>
      <c r="B27" s="3">
        <v>2121</v>
      </c>
      <c r="C27" s="3">
        <v>300040</v>
      </c>
      <c r="D27" s="4">
        <v>2419718</v>
      </c>
      <c r="E27" s="4">
        <v>2271000</v>
      </c>
      <c r="F27" s="5">
        <f>C27/B27</f>
        <v>141.46157472890147</v>
      </c>
      <c r="G27" s="11">
        <f>C27/E27</f>
        <v>0.1321180096873624</v>
      </c>
      <c r="H27" s="12">
        <v>0.5364323677274111</v>
      </c>
      <c r="I27" s="13">
        <v>6.1399999999999996E-2</v>
      </c>
      <c r="J27" s="15">
        <f t="shared" si="0"/>
        <v>0.93859999999999999</v>
      </c>
    </row>
    <row r="28" spans="1:10" x14ac:dyDescent="0.25">
      <c r="A28" s="1">
        <v>1958</v>
      </c>
      <c r="B28" s="3">
        <v>1894</v>
      </c>
      <c r="C28" s="3">
        <v>276346</v>
      </c>
      <c r="D28" s="4">
        <v>2439877</v>
      </c>
      <c r="E28" s="4">
        <v>2297000</v>
      </c>
      <c r="F28" s="5">
        <f>C28/B28</f>
        <v>145.90601900739176</v>
      </c>
      <c r="G28" s="11">
        <f>C28/E28</f>
        <v>0.12030735742272529</v>
      </c>
      <c r="H28" s="12">
        <v>0.44678003268653316</v>
      </c>
      <c r="I28" s="13">
        <v>5.8499999999999996E-2</v>
      </c>
      <c r="J28" s="15">
        <f t="shared" si="0"/>
        <v>0.9415</v>
      </c>
    </row>
    <row r="29" spans="1:10" x14ac:dyDescent="0.25">
      <c r="A29" s="1">
        <v>1959</v>
      </c>
      <c r="B29" s="3">
        <v>1752</v>
      </c>
      <c r="C29" s="3">
        <v>262300</v>
      </c>
      <c r="D29" s="4">
        <v>2458936</v>
      </c>
      <c r="E29" s="4">
        <v>2250000</v>
      </c>
      <c r="F29" s="5">
        <f>C29/B29</f>
        <v>149.71461187214612</v>
      </c>
      <c r="G29" s="11">
        <f>C29/E29</f>
        <v>0.11657777777777778</v>
      </c>
      <c r="H29" s="12">
        <v>0.57507761927631906</v>
      </c>
      <c r="I29" s="13">
        <v>8.4900000000000003E-2</v>
      </c>
      <c r="J29" s="15">
        <f t="shared" si="0"/>
        <v>0.91510000000000002</v>
      </c>
    </row>
    <row r="30" spans="1:10" x14ac:dyDescent="0.25">
      <c r="A30" s="1">
        <v>1960</v>
      </c>
      <c r="B30" s="6">
        <v>1770</v>
      </c>
      <c r="C30" s="7">
        <v>272966</v>
      </c>
      <c r="D30" s="4">
        <v>2476930</v>
      </c>
      <c r="E30" s="4">
        <v>2313000</v>
      </c>
      <c r="F30" s="5">
        <f>C30/B30</f>
        <v>154.21807909604519</v>
      </c>
      <c r="G30" s="11">
        <f>C30/E30</f>
        <v>0.11801383484651967</v>
      </c>
      <c r="H30" s="12">
        <v>0.60931266574517762</v>
      </c>
      <c r="I30" s="13">
        <v>6.6100000000000006E-2</v>
      </c>
      <c r="J30" s="15">
        <f t="shared" si="0"/>
        <v>0.93389999999999995</v>
      </c>
    </row>
    <row r="31" spans="1:10" x14ac:dyDescent="0.25">
      <c r="A31" s="1">
        <v>1961</v>
      </c>
      <c r="B31" s="6">
        <v>1764</v>
      </c>
      <c r="C31" s="7">
        <v>263271</v>
      </c>
      <c r="D31" s="4">
        <v>2526202</v>
      </c>
      <c r="E31" s="4">
        <v>2337000</v>
      </c>
      <c r="F31" s="5">
        <f>C31/B31</f>
        <v>149.24659863945578</v>
      </c>
      <c r="G31" s="11">
        <f>C31/E31</f>
        <v>0.11265340179717587</v>
      </c>
      <c r="H31" s="12">
        <v>0.65889626125439449</v>
      </c>
      <c r="I31" s="13">
        <v>7.4800000000000005E-2</v>
      </c>
      <c r="J31" s="15">
        <f t="shared" si="0"/>
        <v>0.92520000000000002</v>
      </c>
    </row>
    <row r="32" spans="1:10" x14ac:dyDescent="0.25">
      <c r="A32" s="1">
        <v>1962</v>
      </c>
      <c r="B32" s="6">
        <v>1774</v>
      </c>
      <c r="C32" s="7">
        <v>257725</v>
      </c>
      <c r="D32" s="4">
        <v>2574773</v>
      </c>
      <c r="E32" s="4">
        <v>2385000</v>
      </c>
      <c r="F32" s="5">
        <f>C32/B32</f>
        <v>145.27903043968433</v>
      </c>
      <c r="G32" s="11">
        <f>C32/E32</f>
        <v>0.10806079664570231</v>
      </c>
      <c r="H32" s="12">
        <v>0.59419051937725131</v>
      </c>
      <c r="I32" s="13">
        <v>7.3700000000000002E-2</v>
      </c>
      <c r="J32" s="15">
        <f t="shared" si="0"/>
        <v>0.92630000000000001</v>
      </c>
    </row>
    <row r="33" spans="1:10" x14ac:dyDescent="0.25">
      <c r="A33" s="1">
        <v>1963</v>
      </c>
      <c r="B33" s="6">
        <v>1852</v>
      </c>
      <c r="C33" s="7">
        <v>268035</v>
      </c>
      <c r="D33" s="4">
        <v>2622648</v>
      </c>
      <c r="E33" s="4">
        <v>2440000</v>
      </c>
      <c r="F33" s="5">
        <f>C33/B33</f>
        <v>144.72732181425485</v>
      </c>
      <c r="G33" s="11">
        <f>C33/E33</f>
        <v>0.10985040983606557</v>
      </c>
      <c r="H33" s="12">
        <v>0.55768144220705251</v>
      </c>
      <c r="I33" s="13">
        <v>6.9699999999999998E-2</v>
      </c>
      <c r="J33" s="15">
        <f t="shared" si="0"/>
        <v>0.93030000000000002</v>
      </c>
    </row>
    <row r="34" spans="1:10" x14ac:dyDescent="0.25">
      <c r="A34" s="1">
        <v>1964</v>
      </c>
      <c r="B34" s="6">
        <v>1863</v>
      </c>
      <c r="C34" s="7">
        <v>278980</v>
      </c>
      <c r="D34" s="4">
        <v>2670141</v>
      </c>
      <c r="E34" s="4">
        <v>2497000</v>
      </c>
      <c r="F34" s="5">
        <f>C34/B34</f>
        <v>149.74771873322598</v>
      </c>
      <c r="G34" s="11">
        <f>C34/E34</f>
        <v>0.11172607128554266</v>
      </c>
      <c r="H34" s="12">
        <v>0.67677427397315781</v>
      </c>
      <c r="I34" s="13">
        <v>6.4699999999999994E-2</v>
      </c>
      <c r="J34" s="15">
        <f t="shared" si="0"/>
        <v>0.93530000000000002</v>
      </c>
    </row>
    <row r="35" spans="1:10" x14ac:dyDescent="0.25">
      <c r="A35" s="1">
        <v>1965</v>
      </c>
      <c r="B35" s="7">
        <v>2059</v>
      </c>
      <c r="C35" s="7">
        <v>302475</v>
      </c>
      <c r="D35" s="4">
        <v>2716654</v>
      </c>
      <c r="E35" s="4">
        <v>2557000</v>
      </c>
      <c r="F35" s="5">
        <f>C35/B35</f>
        <v>146.90383681398737</v>
      </c>
      <c r="G35" s="11">
        <f>C35/E35</f>
        <v>0.11829292139225656</v>
      </c>
      <c r="H35" s="12">
        <v>0.63810886917257281</v>
      </c>
      <c r="I35" s="13">
        <v>5.8700000000000002E-2</v>
      </c>
      <c r="J35" s="15">
        <f t="shared" si="0"/>
        <v>0.94130000000000003</v>
      </c>
    </row>
    <row r="36" spans="1:10" x14ac:dyDescent="0.25">
      <c r="A36" s="1">
        <v>1966</v>
      </c>
      <c r="B36" s="7">
        <v>2882</v>
      </c>
      <c r="C36" s="7">
        <v>369507</v>
      </c>
      <c r="D36" s="4">
        <v>2757476</v>
      </c>
      <c r="E36" s="4">
        <v>2604000</v>
      </c>
      <c r="F36" s="5">
        <f>C36/B36</f>
        <v>128.2120055517002</v>
      </c>
      <c r="G36" s="11">
        <f>C36/E36</f>
        <v>0.14189976958525347</v>
      </c>
      <c r="H36" s="12">
        <v>0.55349565676106405</v>
      </c>
      <c r="I36" s="13">
        <v>5.5599999999999997E-2</v>
      </c>
      <c r="J36" s="15">
        <f t="shared" si="0"/>
        <v>0.94440000000000002</v>
      </c>
    </row>
    <row r="37" spans="1:10" x14ac:dyDescent="0.25">
      <c r="A37" s="1">
        <v>1967</v>
      </c>
      <c r="B37" s="7">
        <v>3426</v>
      </c>
      <c r="C37" s="7">
        <v>442650</v>
      </c>
      <c r="D37" s="4">
        <v>2797693</v>
      </c>
      <c r="E37" s="4">
        <v>2681000</v>
      </c>
      <c r="F37" s="5">
        <f>C37/B37</f>
        <v>129.20315236427319</v>
      </c>
      <c r="G37" s="11">
        <f>C37/E37</f>
        <v>0.16510630361805295</v>
      </c>
      <c r="H37" s="12">
        <v>0.5791916250038267</v>
      </c>
      <c r="I37" s="13">
        <v>4.1599999999999998E-2</v>
      </c>
      <c r="J37" s="15">
        <f t="shared" si="0"/>
        <v>0.95840000000000003</v>
      </c>
    </row>
    <row r="38" spans="1:10" x14ac:dyDescent="0.25">
      <c r="A38" s="1">
        <v>1968</v>
      </c>
      <c r="B38" s="7">
        <v>3889</v>
      </c>
      <c r="C38" s="7">
        <v>500447</v>
      </c>
      <c r="D38" s="4">
        <v>2837312</v>
      </c>
      <c r="E38" s="4">
        <v>2714000</v>
      </c>
      <c r="F38" s="5">
        <f>C38/B38</f>
        <v>128.68269478014915</v>
      </c>
      <c r="G38" s="11">
        <f>C38/E38</f>
        <v>0.18439462048636698</v>
      </c>
      <c r="H38" s="12">
        <v>0.53940790971210906</v>
      </c>
      <c r="I38" s="13">
        <v>4.36E-2</v>
      </c>
      <c r="J38" s="15">
        <f t="shared" si="0"/>
        <v>0.95640000000000003</v>
      </c>
    </row>
    <row r="39" spans="1:10" x14ac:dyDescent="0.25">
      <c r="A39" s="1">
        <v>1969</v>
      </c>
      <c r="B39" s="7">
        <v>4228</v>
      </c>
      <c r="C39" s="7">
        <v>541967</v>
      </c>
      <c r="D39" s="4">
        <v>2876339</v>
      </c>
      <c r="E39" s="4">
        <v>2734000</v>
      </c>
      <c r="F39" s="5">
        <f>C39/B39</f>
        <v>128.18519394512771</v>
      </c>
      <c r="G39" s="11">
        <f>C39/E39</f>
        <v>0.19823226042428677</v>
      </c>
      <c r="H39" s="12">
        <v>0.50053145229905127</v>
      </c>
      <c r="I39" s="13">
        <v>4.9599999999999998E-2</v>
      </c>
      <c r="J39" s="15">
        <f t="shared" si="0"/>
        <v>0.95040000000000002</v>
      </c>
    </row>
    <row r="40" spans="1:10" x14ac:dyDescent="0.25">
      <c r="A40" s="1">
        <v>1970</v>
      </c>
      <c r="B40" s="8">
        <v>4581</v>
      </c>
      <c r="C40" s="9">
        <v>627664</v>
      </c>
      <c r="D40" s="4">
        <v>2914780</v>
      </c>
      <c r="E40" s="4">
        <v>2743000</v>
      </c>
      <c r="F40" s="5">
        <f>C40/B40</f>
        <v>137.01462562759224</v>
      </c>
      <c r="G40" s="11">
        <f>C40/E40</f>
        <v>0.22882391542107183</v>
      </c>
      <c r="H40" s="12">
        <v>0.50927676619233542</v>
      </c>
      <c r="I40" s="13">
        <v>5.9000000000000004E-2</v>
      </c>
      <c r="J40" s="15">
        <f t="shared" si="0"/>
        <v>0.94099999999999995</v>
      </c>
    </row>
    <row r="41" spans="1:10" x14ac:dyDescent="0.25">
      <c r="A41" s="1">
        <v>1971</v>
      </c>
      <c r="B41" s="8">
        <v>5212</v>
      </c>
      <c r="C41" s="9">
        <v>782494</v>
      </c>
      <c r="D41" s="4">
        <v>2984195</v>
      </c>
      <c r="E41" s="4">
        <v>2829000</v>
      </c>
      <c r="F41" s="5">
        <f>C41/B41</f>
        <v>150.13315425940138</v>
      </c>
      <c r="G41" s="11">
        <f>C41/E41</f>
        <v>0.27659738423471192</v>
      </c>
      <c r="H41" s="12">
        <v>0.56231700542147456</v>
      </c>
      <c r="I41" s="13">
        <v>5.2000000000000005E-2</v>
      </c>
      <c r="J41" s="15">
        <f t="shared" si="0"/>
        <v>0.94799999999999995</v>
      </c>
    </row>
    <row r="42" spans="1:10" x14ac:dyDescent="0.25">
      <c r="A42" s="1">
        <v>1972</v>
      </c>
      <c r="B42" s="8">
        <v>6118</v>
      </c>
      <c r="C42" s="9">
        <v>855404</v>
      </c>
      <c r="D42" s="4">
        <v>3054480</v>
      </c>
      <c r="E42" s="4">
        <v>2932000</v>
      </c>
      <c r="F42" s="5">
        <f>C42/B42</f>
        <v>139.81758744687806</v>
      </c>
      <c r="G42" s="11">
        <f>C42/E42</f>
        <v>0.29174761255115961</v>
      </c>
      <c r="H42" s="12">
        <v>0.69034773850784814</v>
      </c>
      <c r="I42" s="13">
        <v>0.04</v>
      </c>
      <c r="J42" s="15">
        <f t="shared" si="0"/>
        <v>0.96</v>
      </c>
    </row>
    <row r="43" spans="1:10" x14ac:dyDescent="0.25">
      <c r="A43" s="1">
        <v>1973</v>
      </c>
      <c r="B43" s="9">
        <v>6692</v>
      </c>
      <c r="C43" s="9">
        <v>939319</v>
      </c>
      <c r="D43" s="4">
        <v>3125992</v>
      </c>
      <c r="E43" s="4">
        <v>2976000</v>
      </c>
      <c r="F43" s="5">
        <f>C43/B43</f>
        <v>140.36446503287507</v>
      </c>
      <c r="G43" s="11">
        <f>C43/E43</f>
        <v>0.31563138440860217</v>
      </c>
      <c r="H43" s="12">
        <v>0.54502867223101148</v>
      </c>
      <c r="I43" s="13">
        <v>4.8000000000000001E-2</v>
      </c>
      <c r="J43" s="15">
        <f t="shared" si="0"/>
        <v>0.95199999999999996</v>
      </c>
    </row>
    <row r="44" spans="1:10" x14ac:dyDescent="0.25">
      <c r="A44" s="1">
        <v>1974</v>
      </c>
      <c r="B44" s="9">
        <v>7069</v>
      </c>
      <c r="C44" s="9">
        <v>947093</v>
      </c>
      <c r="D44" s="4">
        <v>3198069</v>
      </c>
      <c r="E44" s="4">
        <v>2907000</v>
      </c>
      <c r="F44" s="5">
        <f>C44/B44</f>
        <v>133.97835620314046</v>
      </c>
      <c r="G44" s="11">
        <f>C44/E44</f>
        <v>0.32579738562091504</v>
      </c>
      <c r="H44" s="12">
        <v>0.3944709808320595</v>
      </c>
      <c r="I44" s="13">
        <v>9.0999999999999998E-2</v>
      </c>
      <c r="J44" s="15">
        <f t="shared" si="0"/>
        <v>0.90900000000000003</v>
      </c>
    </row>
    <row r="45" spans="1:10" x14ac:dyDescent="0.25">
      <c r="A45" s="1">
        <v>1975</v>
      </c>
      <c r="B45" s="9">
        <v>7181</v>
      </c>
      <c r="C45" s="9">
        <v>940810</v>
      </c>
      <c r="D45" s="4">
        <v>3271416</v>
      </c>
      <c r="E45" s="4">
        <v>2683000</v>
      </c>
      <c r="F45" s="5">
        <f>C45/B45</f>
        <v>131.01378638072691</v>
      </c>
      <c r="G45" s="11">
        <f>C45/E45</f>
        <v>0.35065598210957882</v>
      </c>
      <c r="H45" s="12">
        <v>0.49271994187133672</v>
      </c>
      <c r="I45" s="13">
        <v>0.18</v>
      </c>
      <c r="J45" s="15">
        <f t="shared" si="0"/>
        <v>0.82000000000000006</v>
      </c>
    </row>
    <row r="46" spans="1:10" x14ac:dyDescent="0.25">
      <c r="A46" s="1">
        <v>1976</v>
      </c>
      <c r="B46" s="9">
        <v>7166</v>
      </c>
      <c r="C46" s="9">
        <v>939255</v>
      </c>
      <c r="D46" s="4">
        <v>3340483</v>
      </c>
      <c r="E46" s="4">
        <v>2609000</v>
      </c>
      <c r="F46" s="5">
        <f>C46/B46</f>
        <v>131.0710298632431</v>
      </c>
      <c r="G46" s="11">
        <f>C46/E46</f>
        <v>0.3600057493292449</v>
      </c>
      <c r="H46" s="12">
        <v>0.48558128290102798</v>
      </c>
      <c r="I46" s="13">
        <v>0.21899999999999997</v>
      </c>
      <c r="J46" s="15">
        <f t="shared" si="0"/>
        <v>0.78100000000000003</v>
      </c>
    </row>
    <row r="47" spans="1:10" x14ac:dyDescent="0.25">
      <c r="A47" s="1">
        <v>1977</v>
      </c>
      <c r="B47" s="9">
        <v>7077</v>
      </c>
      <c r="C47" s="9">
        <v>916569</v>
      </c>
      <c r="D47" s="4">
        <v>3410448</v>
      </c>
      <c r="E47" s="4">
        <v>2793000</v>
      </c>
      <c r="F47" s="5">
        <f>C47/B47</f>
        <v>129.51377702416278</v>
      </c>
      <c r="G47" s="11">
        <f>C47/E47</f>
        <v>0.32816648764769063</v>
      </c>
      <c r="H47" s="12">
        <v>0.50441831291226913</v>
      </c>
      <c r="I47" s="13">
        <v>0.18100000000000002</v>
      </c>
      <c r="J47" s="15">
        <f t="shared" si="0"/>
        <v>0.81899999999999995</v>
      </c>
    </row>
    <row r="48" spans="1:10" x14ac:dyDescent="0.25">
      <c r="A48" s="1">
        <v>1978</v>
      </c>
      <c r="B48" s="9">
        <v>6797</v>
      </c>
      <c r="C48" s="9">
        <v>982670</v>
      </c>
      <c r="D48" s="4">
        <v>3481326</v>
      </c>
      <c r="E48" s="4">
        <v>2823000</v>
      </c>
      <c r="F48" s="5">
        <f>C48/B48</f>
        <v>144.57407679858761</v>
      </c>
      <c r="G48" s="11">
        <f>C48/E48</f>
        <v>0.34809422600070844</v>
      </c>
      <c r="H48" s="12">
        <v>0.44556606720713365</v>
      </c>
      <c r="I48" s="13">
        <v>0.18899999999999997</v>
      </c>
      <c r="J48" s="15">
        <f t="shared" si="0"/>
        <v>0.81100000000000005</v>
      </c>
    </row>
    <row r="49" spans="1:10" x14ac:dyDescent="0.25">
      <c r="A49" s="1">
        <v>1979</v>
      </c>
      <c r="B49" s="9">
        <v>7329</v>
      </c>
      <c r="C49" s="9">
        <v>581483</v>
      </c>
      <c r="D49" s="4">
        <v>3553135</v>
      </c>
      <c r="E49" s="4">
        <v>2921000</v>
      </c>
      <c r="F49" s="5">
        <f>C49/B49</f>
        <v>79.340019102196749</v>
      </c>
      <c r="G49" s="11">
        <f>C49/E49</f>
        <v>0.19906983909619994</v>
      </c>
      <c r="H49" s="12">
        <v>0.42999958432581764</v>
      </c>
      <c r="I49" s="13">
        <v>0.17800000000000002</v>
      </c>
      <c r="J49" s="15">
        <f t="shared" si="0"/>
        <v>0.82199999999999995</v>
      </c>
    </row>
    <row r="50" spans="1:10" x14ac:dyDescent="0.25">
      <c r="A50" s="1">
        <v>1980</v>
      </c>
      <c r="B50" s="9">
        <v>4597</v>
      </c>
      <c r="C50" s="9">
        <v>386910</v>
      </c>
      <c r="D50" s="4">
        <v>3626262</v>
      </c>
      <c r="E50" s="4">
        <v>2995000</v>
      </c>
      <c r="F50" s="5">
        <f>C50/B50</f>
        <v>84.165760278442463</v>
      </c>
      <c r="G50" s="11">
        <f>C50/E50</f>
        <v>0.12918530884808013</v>
      </c>
      <c r="H50" s="12">
        <v>0.46401632067622139</v>
      </c>
      <c r="I50" s="13">
        <v>0.17399999999999999</v>
      </c>
      <c r="J50" s="15">
        <f t="shared" si="0"/>
        <v>0.82600000000000007</v>
      </c>
    </row>
    <row r="51" spans="1:10" x14ac:dyDescent="0.25">
      <c r="A51" s="1">
        <v>1981</v>
      </c>
      <c r="B51" s="9">
        <v>3977</v>
      </c>
      <c r="C51" s="9">
        <v>395951</v>
      </c>
      <c r="D51" s="4">
        <v>3710904</v>
      </c>
      <c r="E51" s="4">
        <v>3136000</v>
      </c>
      <c r="F51" s="5">
        <f>C51/B51</f>
        <v>99.560221272315815</v>
      </c>
      <c r="G51" s="11">
        <f>C51/E51</f>
        <v>0.12625988520408163</v>
      </c>
      <c r="H51" s="12">
        <v>0.54151622923491183</v>
      </c>
      <c r="I51" s="13">
        <v>0.155</v>
      </c>
      <c r="J51" s="15">
        <f t="shared" si="0"/>
        <v>0.84499999999999997</v>
      </c>
    </row>
    <row r="52" spans="1:10" x14ac:dyDescent="0.25">
      <c r="A52" s="1">
        <v>1982</v>
      </c>
      <c r="B52" s="9">
        <v>4048</v>
      </c>
      <c r="C52" s="9">
        <v>347470</v>
      </c>
      <c r="D52" s="4">
        <v>3796678</v>
      </c>
      <c r="E52" s="4">
        <v>2840000</v>
      </c>
      <c r="F52" s="5">
        <f>C52/B52</f>
        <v>85.837450592885375</v>
      </c>
      <c r="G52" s="11">
        <f>C52/E52</f>
        <v>0.12234859154929577</v>
      </c>
      <c r="H52" s="12">
        <v>0.60641767497165833</v>
      </c>
      <c r="I52" s="13">
        <v>0.252</v>
      </c>
      <c r="J52" s="15">
        <f t="shared" si="0"/>
        <v>0.748</v>
      </c>
    </row>
    <row r="53" spans="1:10" x14ac:dyDescent="0.25">
      <c r="A53" s="1">
        <v>1983</v>
      </c>
      <c r="B53" s="9">
        <v>4401</v>
      </c>
      <c r="C53" s="9">
        <v>320903</v>
      </c>
      <c r="D53" s="4">
        <v>3901782</v>
      </c>
      <c r="E53" s="4">
        <v>2848000</v>
      </c>
      <c r="F53" s="5">
        <f>C53/B53</f>
        <v>72.915928198136783</v>
      </c>
      <c r="G53" s="11">
        <f>C53/E53</f>
        <v>0.11267661516853933</v>
      </c>
      <c r="H53" s="12">
        <v>0.57024788471405963</v>
      </c>
      <c r="I53" s="13">
        <v>0.27</v>
      </c>
      <c r="J53" s="15">
        <f t="shared" si="0"/>
        <v>0.73</v>
      </c>
    </row>
    <row r="54" spans="1:10" x14ac:dyDescent="0.25">
      <c r="A54" s="1">
        <v>1984</v>
      </c>
      <c r="B54" s="9">
        <v>4714</v>
      </c>
      <c r="C54" s="9">
        <v>343329</v>
      </c>
      <c r="D54" s="4">
        <v>4008840</v>
      </c>
      <c r="E54" s="4">
        <v>3199000</v>
      </c>
      <c r="F54" s="5">
        <f>C54/B54</f>
        <v>72.831777683495972</v>
      </c>
      <c r="G54" s="11">
        <f>C54/E54</f>
        <v>0.10732385120350109</v>
      </c>
      <c r="H54" s="12">
        <v>0.56476104797272131</v>
      </c>
      <c r="I54" s="13">
        <v>0.20199999999999999</v>
      </c>
      <c r="J54" s="15">
        <f t="shared" si="0"/>
        <v>0.79800000000000004</v>
      </c>
    </row>
    <row r="55" spans="1:10" x14ac:dyDescent="0.25">
      <c r="A55" s="1">
        <v>1985</v>
      </c>
      <c r="B55" s="9">
        <v>4994</v>
      </c>
      <c r="C55" s="9">
        <v>360963</v>
      </c>
      <c r="D55" s="4">
        <v>4118687</v>
      </c>
      <c r="E55" s="4">
        <v>3489000</v>
      </c>
      <c r="F55" s="5">
        <f>C55/B55</f>
        <v>72.279335202242692</v>
      </c>
      <c r="G55" s="11">
        <f>C55/E55</f>
        <v>0.10345743766122098</v>
      </c>
      <c r="H55" s="12">
        <v>0.48140436278129589</v>
      </c>
      <c r="I55" s="13">
        <v>0.153</v>
      </c>
      <c r="J55" s="15">
        <f t="shared" si="0"/>
        <v>0.84699999999999998</v>
      </c>
    </row>
    <row r="56" spans="1:10" x14ac:dyDescent="0.25">
      <c r="A56" s="1">
        <v>1986</v>
      </c>
      <c r="B56" s="9">
        <v>5391</v>
      </c>
      <c r="C56" s="9">
        <v>386987</v>
      </c>
      <c r="D56" s="4">
        <v>4241248</v>
      </c>
      <c r="E56" s="4">
        <v>3647000</v>
      </c>
      <c r="F56" s="5">
        <f>C56/B56</f>
        <v>71.783899091077728</v>
      </c>
      <c r="G56" s="11">
        <f>C56/E56</f>
        <v>0.10611105017822868</v>
      </c>
      <c r="H56" s="12">
        <v>0.47753279064535087</v>
      </c>
      <c r="I56" s="13">
        <v>0.14019999999999999</v>
      </c>
      <c r="J56" s="15">
        <f t="shared" si="0"/>
        <v>0.85980000000000001</v>
      </c>
    </row>
    <row r="57" spans="1:10" x14ac:dyDescent="0.25">
      <c r="A57" s="1">
        <v>1987</v>
      </c>
      <c r="B57" s="9">
        <v>5883</v>
      </c>
      <c r="C57" s="9">
        <v>422302</v>
      </c>
      <c r="D57" s="4">
        <v>4366605</v>
      </c>
      <c r="E57" s="4">
        <v>3850000</v>
      </c>
      <c r="F57" s="5">
        <f>C57/B57</f>
        <v>71.783443821179674</v>
      </c>
      <c r="G57" s="11">
        <f>C57/E57</f>
        <v>0.10968883116883117</v>
      </c>
      <c r="H57" s="12">
        <v>0.44658583481987651</v>
      </c>
      <c r="I57" s="13">
        <v>0.1183</v>
      </c>
      <c r="J57" s="15">
        <f t="shared" si="0"/>
        <v>0.88170000000000004</v>
      </c>
    </row>
    <row r="58" spans="1:10" x14ac:dyDescent="0.25">
      <c r="A58" s="1">
        <v>1988</v>
      </c>
      <c r="B58" s="9">
        <v>6446</v>
      </c>
      <c r="C58" s="9">
        <v>446194</v>
      </c>
      <c r="D58" s="4">
        <v>4494847</v>
      </c>
      <c r="E58" s="4">
        <v>4048000</v>
      </c>
      <c r="F58" s="5">
        <f>C58/B58</f>
        <v>69.220291653738755</v>
      </c>
      <c r="G58" s="11">
        <f>C58/E58</f>
        <v>0.11022579051383399</v>
      </c>
      <c r="H58" s="12">
        <v>0.41563369995406857</v>
      </c>
      <c r="I58" s="13">
        <v>9.9499999999999991E-2</v>
      </c>
      <c r="J58" s="15">
        <f t="shared" si="0"/>
        <v>0.90049999999999997</v>
      </c>
    </row>
    <row r="59" spans="1:10" x14ac:dyDescent="0.25">
      <c r="A59" s="1">
        <v>1989</v>
      </c>
      <c r="B59" s="9">
        <v>7118</v>
      </c>
      <c r="C59" s="9">
        <v>507616</v>
      </c>
      <c r="D59" s="4">
        <v>4626060</v>
      </c>
      <c r="E59" s="4">
        <v>4261000</v>
      </c>
      <c r="F59" s="5">
        <f>C59/B59</f>
        <v>71.314414161281263</v>
      </c>
      <c r="G59" s="11">
        <f>C59/E59</f>
        <v>0.11913072048814832</v>
      </c>
      <c r="H59" s="12">
        <v>0.41624399079120317</v>
      </c>
      <c r="I59" s="13">
        <v>7.9000000000000001E-2</v>
      </c>
      <c r="J59" s="15">
        <f t="shared" si="0"/>
        <v>0.92100000000000004</v>
      </c>
    </row>
    <row r="60" spans="1:10" x14ac:dyDescent="0.25">
      <c r="A60" s="1">
        <v>1990</v>
      </c>
      <c r="B60" s="10">
        <f>AVERAGE(B59,B61)</f>
        <v>7412.5</v>
      </c>
      <c r="C60" s="10">
        <v>606812</v>
      </c>
      <c r="D60" s="4">
        <v>4760337</v>
      </c>
      <c r="E60" s="4">
        <v>4389000</v>
      </c>
      <c r="F60" s="5">
        <f>C60/B60</f>
        <v>81.863338954468801</v>
      </c>
      <c r="G60" s="11">
        <f>C60/E60</f>
        <v>0.13825746183640922</v>
      </c>
      <c r="H60" s="12">
        <v>0.4656652389700015</v>
      </c>
      <c r="I60" s="13">
        <v>7.8E-2</v>
      </c>
      <c r="J60" s="15">
        <f t="shared" si="0"/>
        <v>0.92200000000000004</v>
      </c>
    </row>
    <row r="61" spans="1:10" x14ac:dyDescent="0.25">
      <c r="A61" s="1">
        <v>1991</v>
      </c>
      <c r="B61" s="10">
        <v>7707</v>
      </c>
      <c r="C61" s="10">
        <v>701355</v>
      </c>
      <c r="D61" s="4">
        <v>4907973</v>
      </c>
      <c r="E61" s="4">
        <v>4507000</v>
      </c>
      <c r="F61" s="5">
        <f>C61/B61</f>
        <v>91.002335539120281</v>
      </c>
      <c r="G61" s="11">
        <f>C61/E61</f>
        <v>0.15561459951187043</v>
      </c>
      <c r="H61" s="12">
        <v>0.43418302716237978</v>
      </c>
      <c r="I61" s="13">
        <v>8.1600000000000006E-2</v>
      </c>
      <c r="J61" s="15">
        <f t="shared" si="0"/>
        <v>0.91839999999999999</v>
      </c>
    </row>
    <row r="62" spans="1:10" x14ac:dyDescent="0.25">
      <c r="A62" s="1">
        <v>1992</v>
      </c>
      <c r="B62" s="10">
        <v>8323</v>
      </c>
      <c r="C62" s="10">
        <v>724065</v>
      </c>
      <c r="D62" s="4">
        <v>5059524</v>
      </c>
      <c r="E62" s="4">
        <v>4724000</v>
      </c>
      <c r="F62" s="5">
        <f>C62/B62</f>
        <v>86.995674636549325</v>
      </c>
      <c r="G62" s="11">
        <f>C62/E62</f>
        <v>0.15327370872142251</v>
      </c>
      <c r="H62" s="12">
        <v>0.41500364282560354</v>
      </c>
      <c r="I62" s="13">
        <v>6.6400000000000001E-2</v>
      </c>
      <c r="J62" s="15">
        <f t="shared" si="0"/>
        <v>0.93359999999999999</v>
      </c>
    </row>
    <row r="63" spans="1:10" x14ac:dyDescent="0.25">
      <c r="A63" s="1">
        <v>1993</v>
      </c>
      <c r="B63" s="10">
        <v>7974</v>
      </c>
      <c r="C63" s="10">
        <v>684361</v>
      </c>
      <c r="D63" s="4">
        <v>5179015</v>
      </c>
      <c r="E63" s="4">
        <v>4840000</v>
      </c>
      <c r="F63" s="5">
        <f>C63/B63</f>
        <v>85.824053172811631</v>
      </c>
      <c r="G63" s="11">
        <f>C63/E63</f>
        <v>0.14139690082644629</v>
      </c>
      <c r="H63" s="12">
        <v>0.40610287960314789</v>
      </c>
      <c r="I63" s="13">
        <v>6.5500000000000003E-2</v>
      </c>
      <c r="J63" s="15">
        <f t="shared" si="0"/>
        <v>0.9345</v>
      </c>
    </row>
    <row r="64" spans="1:10" x14ac:dyDescent="0.25">
      <c r="A64" s="1">
        <v>1994</v>
      </c>
      <c r="B64" s="10">
        <v>7891</v>
      </c>
      <c r="C64" s="10">
        <v>661966</v>
      </c>
      <c r="D64" s="4">
        <v>5299857</v>
      </c>
      <c r="E64" s="4">
        <v>4884000</v>
      </c>
      <c r="F64" s="5">
        <f>C64/B64</f>
        <v>83.888734000760365</v>
      </c>
      <c r="G64" s="11">
        <f>C64/E64</f>
        <v>0.13553767403767403</v>
      </c>
      <c r="H64" s="12">
        <v>0.40662804140629971</v>
      </c>
      <c r="I64" s="13">
        <v>7.85E-2</v>
      </c>
      <c r="J64" s="15">
        <f t="shared" si="0"/>
        <v>0.92149999999999999</v>
      </c>
    </row>
    <row r="65" spans="1:10" x14ac:dyDescent="0.25">
      <c r="A65" s="1">
        <v>1995</v>
      </c>
      <c r="B65" s="10">
        <v>7505</v>
      </c>
      <c r="C65" s="10">
        <v>637570</v>
      </c>
      <c r="D65" s="4">
        <v>5422067</v>
      </c>
      <c r="E65" s="4">
        <v>5025000</v>
      </c>
      <c r="F65" s="5">
        <f>C65/B65</f>
        <v>84.952698201199198</v>
      </c>
      <c r="G65" s="11">
        <f>C65/E65</f>
        <v>0.12687960199004975</v>
      </c>
      <c r="H65" s="12">
        <v>0.38666700959116751</v>
      </c>
      <c r="I65" s="13">
        <v>7.3300000000000004E-2</v>
      </c>
      <c r="J65" s="15">
        <f t="shared" si="0"/>
        <v>0.92669999999999997</v>
      </c>
    </row>
    <row r="66" spans="1:10" x14ac:dyDescent="0.25">
      <c r="A66" s="1">
        <v>1996</v>
      </c>
      <c r="B66" s="10">
        <f>(B67+B65)/2</f>
        <v>7475.5</v>
      </c>
      <c r="C66" s="10">
        <f>(C67+C65)/2</f>
        <v>627665.5</v>
      </c>
      <c r="D66" s="4">
        <v>5529084</v>
      </c>
      <c r="E66" s="4">
        <v>5178000</v>
      </c>
      <c r="F66" s="5">
        <f>C66/B66</f>
        <v>83.963012507524581</v>
      </c>
      <c r="G66" s="11">
        <f>C66/E66</f>
        <v>0.12121774816531479</v>
      </c>
      <c r="H66" s="12">
        <v>0.40248806579430851</v>
      </c>
      <c r="I66" s="13">
        <v>6.3500000000000001E-2</v>
      </c>
      <c r="J66" s="15">
        <f t="shared" si="0"/>
        <v>0.9365</v>
      </c>
    </row>
    <row r="67" spans="1:10" x14ac:dyDescent="0.25">
      <c r="A67" s="1">
        <v>1997</v>
      </c>
      <c r="B67" s="10">
        <v>7446</v>
      </c>
      <c r="C67" s="10">
        <v>617761</v>
      </c>
      <c r="D67" s="4">
        <v>5637742</v>
      </c>
      <c r="E67" s="4">
        <v>5294000</v>
      </c>
      <c r="F67" s="5">
        <f>C67/B67</f>
        <v>82.965484824066607</v>
      </c>
      <c r="G67" s="11">
        <f>C67/E67</f>
        <v>0.11669078201737816</v>
      </c>
      <c r="H67" s="12">
        <v>0.39725743874928116</v>
      </c>
      <c r="I67" s="13">
        <v>6.0999999999999999E-2</v>
      </c>
      <c r="J67" s="15">
        <f t="shared" ref="J67:J80" si="1">1-I67</f>
        <v>0.93900000000000006</v>
      </c>
    </row>
    <row r="68" spans="1:10" x14ac:dyDescent="0.25">
      <c r="A68" s="1">
        <v>1998</v>
      </c>
      <c r="B68" s="10">
        <v>7439</v>
      </c>
      <c r="C68" s="10">
        <v>611535</v>
      </c>
      <c r="D68" s="4">
        <v>5747219</v>
      </c>
      <c r="E68" s="4">
        <v>5379000</v>
      </c>
      <c r="F68" s="5">
        <f>C68/B68</f>
        <v>82.20661379217637</v>
      </c>
      <c r="G68" s="11">
        <f>C68/E68</f>
        <v>0.1136893474623536</v>
      </c>
      <c r="H68" s="12">
        <v>0.40509583309046837</v>
      </c>
      <c r="I68" s="13">
        <v>6.4100000000000004E-2</v>
      </c>
      <c r="J68" s="15">
        <f t="shared" si="1"/>
        <v>0.93589999999999995</v>
      </c>
    </row>
    <row r="69" spans="1:10" x14ac:dyDescent="0.25">
      <c r="A69" s="1">
        <v>1999</v>
      </c>
      <c r="B69" s="10">
        <v>7057</v>
      </c>
      <c r="C69" s="10">
        <v>579996</v>
      </c>
      <c r="D69" s="4">
        <v>5858377</v>
      </c>
      <c r="E69" s="4">
        <v>5267000</v>
      </c>
      <c r="F69" s="5">
        <f>C69/B69</f>
        <v>82.187331727362903</v>
      </c>
      <c r="G69" s="11">
        <f>C69/E69</f>
        <v>0.1101188532371369</v>
      </c>
      <c r="H69" s="12">
        <v>0.42510299621684927</v>
      </c>
      <c r="I69" s="13">
        <v>0.10099999999999999</v>
      </c>
      <c r="J69" s="15">
        <f t="shared" si="1"/>
        <v>0.89900000000000002</v>
      </c>
    </row>
    <row r="70" spans="1:10" x14ac:dyDescent="0.25">
      <c r="A70" s="1">
        <v>2000</v>
      </c>
      <c r="B70" s="10">
        <v>7659</v>
      </c>
      <c r="C70" s="10">
        <v>595495</v>
      </c>
      <c r="D70" s="4">
        <v>5970389</v>
      </c>
      <c r="E70" s="4">
        <v>5389000</v>
      </c>
      <c r="F70" s="5">
        <f>C70/B70</f>
        <v>77.751011881446658</v>
      </c>
      <c r="G70" s="11">
        <f>C70/E70</f>
        <v>0.11050194841343478</v>
      </c>
      <c r="H70" s="12">
        <v>0.42616509108608891</v>
      </c>
      <c r="I70" s="13">
        <v>9.7299999999999998E-2</v>
      </c>
      <c r="J70" s="15">
        <f t="shared" si="1"/>
        <v>0.90270000000000006</v>
      </c>
    </row>
    <row r="71" spans="1:10" x14ac:dyDescent="0.25">
      <c r="A71" s="1">
        <v>2001</v>
      </c>
      <c r="B71" s="10">
        <v>7410</v>
      </c>
      <c r="C71" s="10">
        <v>599610</v>
      </c>
      <c r="D71" s="4">
        <v>6073295</v>
      </c>
      <c r="E71" s="4">
        <v>5474000</v>
      </c>
      <c r="F71" s="5">
        <f>C71/B71</f>
        <v>80.91902834008097</v>
      </c>
      <c r="G71" s="11">
        <f>C71/E71</f>
        <v>0.10953781512605042</v>
      </c>
      <c r="H71" s="12">
        <v>0.41835460821123621</v>
      </c>
      <c r="I71" s="13">
        <v>9.8599999999999993E-2</v>
      </c>
      <c r="J71" s="15">
        <f t="shared" si="1"/>
        <v>0.90139999999999998</v>
      </c>
    </row>
    <row r="72" spans="1:10" x14ac:dyDescent="0.25">
      <c r="A72" s="1">
        <v>2002</v>
      </c>
      <c r="B72" s="10">
        <v>8149</v>
      </c>
      <c r="C72" s="10">
        <v>618930</v>
      </c>
      <c r="D72" s="4">
        <v>6177398</v>
      </c>
      <c r="E72" s="4">
        <v>5573000</v>
      </c>
      <c r="F72" s="5">
        <f>C72/B72</f>
        <v>75.951650509264937</v>
      </c>
      <c r="G72" s="11">
        <f>C72/E72</f>
        <v>0.11105867575811951</v>
      </c>
      <c r="H72" s="12">
        <v>0.42689901838608074</v>
      </c>
      <c r="I72" s="13">
        <v>9.7899999999999987E-2</v>
      </c>
      <c r="J72" s="15">
        <f t="shared" si="1"/>
        <v>0.90210000000000001</v>
      </c>
    </row>
    <row r="73" spans="1:10" x14ac:dyDescent="0.25">
      <c r="A73" s="1">
        <v>2003</v>
      </c>
      <c r="B73" s="10">
        <v>8967</v>
      </c>
      <c r="C73" s="10">
        <v>669507</v>
      </c>
      <c r="D73" s="4">
        <v>6376530</v>
      </c>
      <c r="E73" s="4">
        <v>5769000</v>
      </c>
      <c r="F73" s="5">
        <f>C73/B73</f>
        <v>74.663432586149213</v>
      </c>
      <c r="G73" s="11">
        <f>C73/E73</f>
        <v>0.11605252210088403</v>
      </c>
      <c r="H73" s="12">
        <v>0.42595513728628881</v>
      </c>
      <c r="I73" s="13">
        <v>9.5299999999999996E-2</v>
      </c>
      <c r="J73" s="15">
        <f t="shared" si="1"/>
        <v>0.90470000000000006</v>
      </c>
    </row>
    <row r="74" spans="1:10" x14ac:dyDescent="0.25">
      <c r="A74" s="1">
        <v>2004</v>
      </c>
      <c r="B74" s="10">
        <v>9416</v>
      </c>
      <c r="C74" s="10">
        <v>680351</v>
      </c>
      <c r="D74" s="4">
        <v>6583296</v>
      </c>
      <c r="E74" s="4">
        <v>5922000</v>
      </c>
      <c r="F74" s="5">
        <f>C74/B74</f>
        <v>72.254779099405269</v>
      </c>
      <c r="G74" s="11">
        <f>C74/E74</f>
        <v>0.11488534278959811</v>
      </c>
      <c r="H74" s="12">
        <v>0.40182359499390202</v>
      </c>
      <c r="I74" s="13">
        <v>0.10039999999999999</v>
      </c>
      <c r="J74" s="15">
        <f t="shared" si="1"/>
        <v>0.89959999999999996</v>
      </c>
    </row>
    <row r="75" spans="1:10" x14ac:dyDescent="0.25">
      <c r="A75" s="1">
        <v>2005</v>
      </c>
      <c r="B75" s="10">
        <v>9148</v>
      </c>
      <c r="C75" s="10">
        <v>676368</v>
      </c>
      <c r="D75" s="4">
        <v>6798542</v>
      </c>
      <c r="E75" s="4">
        <v>6171000</v>
      </c>
      <c r="F75" s="5">
        <f>C75/B75</f>
        <v>73.936160909488407</v>
      </c>
      <c r="G75" s="11">
        <f>C75/E75</f>
        <v>0.10960427807486631</v>
      </c>
      <c r="H75" s="12">
        <v>0.38874700015954283</v>
      </c>
      <c r="I75" s="13">
        <v>9.2300000000000007E-2</v>
      </c>
      <c r="J75" s="15">
        <f t="shared" si="1"/>
        <v>0.90769999999999995</v>
      </c>
    </row>
    <row r="76" spans="1:10" x14ac:dyDescent="0.25">
      <c r="A76" s="1">
        <v>2006</v>
      </c>
      <c r="B76" s="10">
        <v>9424</v>
      </c>
      <c r="C76" s="10">
        <v>703706</v>
      </c>
      <c r="D76" s="4">
        <v>6806175</v>
      </c>
      <c r="E76" s="4">
        <v>6274000</v>
      </c>
      <c r="F76" s="5">
        <f>C76/B76</f>
        <v>74.671689303904927</v>
      </c>
      <c r="G76" s="11">
        <f>C76/E76</f>
        <v>0.11216225693337584</v>
      </c>
      <c r="H76" s="12">
        <v>0.36517520660249952</v>
      </c>
      <c r="I76" s="13">
        <v>7.8100000000000003E-2</v>
      </c>
      <c r="J76" s="15">
        <f t="shared" si="1"/>
        <v>0.92189999999999994</v>
      </c>
    </row>
    <row r="77" spans="1:10" x14ac:dyDescent="0.25">
      <c r="A77" s="1">
        <v>2007</v>
      </c>
      <c r="B77" s="10">
        <v>9365</v>
      </c>
      <c r="C77" s="10">
        <v>724606</v>
      </c>
      <c r="D77" s="4">
        <v>6943716</v>
      </c>
      <c r="E77" s="4">
        <v>6449000</v>
      </c>
      <c r="F77" s="5">
        <f>C77/B77</f>
        <v>77.373838761345439</v>
      </c>
      <c r="G77" s="11">
        <f>C77/E77</f>
        <v>0.11235943557140642</v>
      </c>
      <c r="H77" s="12">
        <v>0.35591823434574471</v>
      </c>
      <c r="I77" s="13">
        <v>7.1199999999999999E-2</v>
      </c>
      <c r="J77" s="15">
        <f t="shared" si="1"/>
        <v>0.92879999999999996</v>
      </c>
    </row>
    <row r="78" spans="1:10" x14ac:dyDescent="0.25">
      <c r="A78" s="1">
        <v>2008</v>
      </c>
      <c r="B78" s="10">
        <v>9340</v>
      </c>
      <c r="C78" s="10">
        <v>801251</v>
      </c>
      <c r="D78" s="4">
        <v>7201297</v>
      </c>
      <c r="E78" s="4">
        <v>6639000</v>
      </c>
      <c r="F78" s="5">
        <f>C78/B78</f>
        <v>85.787044967880092</v>
      </c>
      <c r="G78" s="11">
        <f>C78/E78</f>
        <v>0.12068850730531706</v>
      </c>
      <c r="H78" s="12">
        <v>0.37680386067090438</v>
      </c>
      <c r="I78" s="13">
        <v>7.8100000000000003E-2</v>
      </c>
      <c r="J78" s="15">
        <f t="shared" si="1"/>
        <v>0.92189999999999994</v>
      </c>
    </row>
    <row r="79" spans="1:10" x14ac:dyDescent="0.25">
      <c r="A79" s="1">
        <v>2009</v>
      </c>
      <c r="B79" s="10">
        <v>9776</v>
      </c>
      <c r="C79" s="10">
        <v>837055</v>
      </c>
      <c r="D79" s="4">
        <v>7302480</v>
      </c>
      <c r="E79" s="4">
        <v>6595000</v>
      </c>
      <c r="F79" s="5">
        <f>C79/B79</f>
        <v>85.623465630114566</v>
      </c>
      <c r="G79" s="11">
        <f>C79/E79</f>
        <v>0.1269226686884003</v>
      </c>
      <c r="H79" s="12">
        <v>0.39185997670869921</v>
      </c>
      <c r="I79" s="13">
        <v>9.69E-2</v>
      </c>
      <c r="J79" s="15">
        <f t="shared" si="1"/>
        <v>0.90310000000000001</v>
      </c>
    </row>
    <row r="80" spans="1:10" x14ac:dyDescent="0.25">
      <c r="A80" s="1">
        <v>2010</v>
      </c>
      <c r="B80" s="10">
        <v>9871</v>
      </c>
      <c r="C80" s="10">
        <v>858571</v>
      </c>
      <c r="D80" s="4">
        <v>7741988</v>
      </c>
      <c r="E80" s="4">
        <v>7115000</v>
      </c>
      <c r="F80" s="5">
        <f>C80/B80</f>
        <v>86.97913078715429</v>
      </c>
      <c r="G80" s="11">
        <f>C80/E80</f>
        <v>0.12067055516514406</v>
      </c>
      <c r="H80" s="12">
        <v>0.37497555589606663</v>
      </c>
      <c r="I80" s="13">
        <v>8.1000000000000003E-2</v>
      </c>
      <c r="J80" s="15">
        <f t="shared" si="1"/>
        <v>0.91900000000000004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FD22-FA05-4143-9DAB-FB507965A09F}">
  <dimension ref="A1:D10"/>
  <sheetViews>
    <sheetView workbookViewId="0">
      <selection activeCell="A16" sqref="A16"/>
    </sheetView>
  </sheetViews>
  <sheetFormatPr defaultRowHeight="15" x14ac:dyDescent="0.25"/>
  <cols>
    <col min="1" max="1" width="29.85546875" customWidth="1"/>
    <col min="2" max="2" width="22.85546875" bestFit="1" customWidth="1"/>
    <col min="3" max="3" width="33" bestFit="1" customWidth="1"/>
    <col min="4" max="4" width="159.28515625" bestFit="1" customWidth="1"/>
  </cols>
  <sheetData>
    <row r="1" spans="1:4" x14ac:dyDescent="0.25">
      <c r="A1" s="17" t="s">
        <v>19</v>
      </c>
      <c r="B1" t="s">
        <v>9</v>
      </c>
      <c r="C1" t="s">
        <v>20</v>
      </c>
      <c r="D1" t="s">
        <v>23</v>
      </c>
    </row>
    <row r="2" spans="1:4" x14ac:dyDescent="0.25">
      <c r="A2" s="16" t="s">
        <v>1</v>
      </c>
      <c r="B2" t="s">
        <v>10</v>
      </c>
      <c r="C2" t="s">
        <v>21</v>
      </c>
      <c r="D2" t="s">
        <v>27</v>
      </c>
    </row>
    <row r="3" spans="1:4" x14ac:dyDescent="0.25">
      <c r="A3" s="16" t="s">
        <v>0</v>
      </c>
      <c r="B3" t="s">
        <v>11</v>
      </c>
      <c r="C3" t="s">
        <v>21</v>
      </c>
      <c r="D3" t="s">
        <v>27</v>
      </c>
    </row>
    <row r="4" spans="1:4" x14ac:dyDescent="0.25">
      <c r="A4" s="16" t="s">
        <v>2</v>
      </c>
      <c r="B4" t="s">
        <v>12</v>
      </c>
      <c r="C4" t="s">
        <v>25</v>
      </c>
      <c r="D4" t="s">
        <v>26</v>
      </c>
    </row>
    <row r="5" spans="1:4" x14ac:dyDescent="0.25">
      <c r="A5" s="16" t="s">
        <v>3</v>
      </c>
      <c r="B5" t="s">
        <v>13</v>
      </c>
      <c r="C5" t="s">
        <v>25</v>
      </c>
      <c r="D5" t="s">
        <v>26</v>
      </c>
    </row>
    <row r="6" spans="1:4" x14ac:dyDescent="0.25">
      <c r="A6" s="16" t="s">
        <v>4</v>
      </c>
      <c r="B6" t="s">
        <v>14</v>
      </c>
      <c r="C6" t="s">
        <v>21</v>
      </c>
      <c r="D6" t="s">
        <v>27</v>
      </c>
    </row>
    <row r="7" spans="1:4" x14ac:dyDescent="0.25">
      <c r="A7" s="16" t="s">
        <v>5</v>
      </c>
      <c r="B7" t="s">
        <v>15</v>
      </c>
      <c r="C7" t="s">
        <v>21</v>
      </c>
      <c r="D7" t="s">
        <v>27</v>
      </c>
    </row>
    <row r="8" spans="1:4" x14ac:dyDescent="0.25">
      <c r="A8" s="16" t="s">
        <v>6</v>
      </c>
      <c r="B8" t="s">
        <v>16</v>
      </c>
      <c r="C8" t="s">
        <v>22</v>
      </c>
      <c r="D8" s="18" t="s">
        <v>24</v>
      </c>
    </row>
    <row r="9" spans="1:4" x14ac:dyDescent="0.25">
      <c r="A9" s="16" t="s">
        <v>8</v>
      </c>
      <c r="B9" t="s">
        <v>17</v>
      </c>
      <c r="C9" t="s">
        <v>25</v>
      </c>
      <c r="D9" t="s">
        <v>26</v>
      </c>
    </row>
    <row r="10" spans="1:4" x14ac:dyDescent="0.25">
      <c r="A10" s="16" t="s">
        <v>7</v>
      </c>
      <c r="B10" t="s">
        <v>18</v>
      </c>
      <c r="C10" t="s">
        <v>25</v>
      </c>
      <c r="D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Polanco</dc:creator>
  <cp:lastModifiedBy>Diego Polanco</cp:lastModifiedBy>
  <dcterms:created xsi:type="dcterms:W3CDTF">2025-11-28T15:41:47Z</dcterms:created>
  <dcterms:modified xsi:type="dcterms:W3CDTF">2025-11-28T17:14:34Z</dcterms:modified>
</cp:coreProperties>
</file>